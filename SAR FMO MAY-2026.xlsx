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RAdmin\Documents\AI-202604E\"/>
    </mc:Choice>
  </mc:AlternateContent>
  <xr:revisionPtr revIDLastSave="0" documentId="13_ncr:1_{DD57B997-293B-41F2-8C7D-3001E9BD2AE7}" xr6:coauthVersionLast="47" xr6:coauthVersionMax="47" xr10:uidLastSave="{00000000-0000-0000-0000-000000000000}"/>
  <bookViews>
    <workbookView xWindow="-120" yWindow="-120" windowWidth="19440" windowHeight="14880" xr2:uid="{EC829808-1C14-4980-90DE-19A953A66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1" l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1" i="1"/>
  <c r="M15" i="1"/>
  <c r="M17" i="1"/>
  <c r="M29" i="1"/>
  <c r="M28" i="1"/>
  <c r="M27" i="1"/>
  <c r="M26" i="1"/>
  <c r="M25" i="1"/>
  <c r="M24" i="1"/>
  <c r="M23" i="1"/>
  <c r="M22" i="1"/>
  <c r="M20" i="1"/>
  <c r="M19" i="1"/>
  <c r="M18" i="1"/>
  <c r="M14" i="1"/>
  <c r="M13" i="1"/>
  <c r="M12" i="1"/>
  <c r="M11" i="1"/>
  <c r="M10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<sst xmlns="http://schemas.openxmlformats.org/spreadsheetml/2006/main" count="305" uniqueCount="121">
  <si>
    <t>S.NO</t>
  </si>
  <si>
    <t>Center</t>
  </si>
  <si>
    <t>Month</t>
  </si>
  <si>
    <t>Batch Code</t>
  </si>
  <si>
    <t>Faculty</t>
  </si>
  <si>
    <t>Enrollment No</t>
  </si>
  <si>
    <t>Semester</t>
  </si>
  <si>
    <t>Student Name</t>
  </si>
  <si>
    <t>Asignment</t>
  </si>
  <si>
    <t>Class Held</t>
  </si>
  <si>
    <t>Class Attend</t>
  </si>
  <si>
    <t>Test</t>
  </si>
  <si>
    <t>Percentage</t>
  </si>
  <si>
    <t>MLR</t>
  </si>
  <si>
    <t>AI-202601C</t>
  </si>
  <si>
    <t>Mr. Muhammad Hammad</t>
  </si>
  <si>
    <t>Student1702033</t>
  </si>
  <si>
    <t>OV-7144-DISM</t>
  </si>
  <si>
    <t>Mr.MUHAMMAD MUZAMMIL RIAZ ANSARI </t>
  </si>
  <si>
    <t>Student1723944</t>
  </si>
  <si>
    <t>OV-7144-ADSE</t>
  </si>
  <si>
    <t>Mr.ROHAN HASHIR MEHMOOD</t>
  </si>
  <si>
    <t>Student1724927</t>
  </si>
  <si>
    <t>OV-7144-HDSE</t>
  </si>
  <si>
    <t>Mr.MUHAMMAD WAHAJ</t>
  </si>
  <si>
    <t>Student1725582</t>
  </si>
  <si>
    <t>Mr.SHAYAN HASSAN</t>
  </si>
  <si>
    <t>Student1722662</t>
  </si>
  <si>
    <t>Mr.SAMEER AHMED MUGHAL</t>
  </si>
  <si>
    <t>Student1727186</t>
  </si>
  <si>
    <t xml:space="preserve">Ms. MEHR UN NISA </t>
  </si>
  <si>
    <t>Student1701868</t>
  </si>
  <si>
    <t>Mr.SHAN FAROOQ</t>
  </si>
  <si>
    <t>AI-202604E</t>
  </si>
  <si>
    <t>Student1727029</t>
  </si>
  <si>
    <t>MR.MUHAMMAD ASHAL SAIF</t>
  </si>
  <si>
    <t>Student1729545</t>
  </si>
  <si>
    <t>MS.SAIMA KOUSER</t>
  </si>
  <si>
    <t>Student1729555</t>
  </si>
  <si>
    <t>MR.ABDUL REHMAN</t>
  </si>
  <si>
    <t>Student1729016</t>
  </si>
  <si>
    <t>Student1729022</t>
  </si>
  <si>
    <t>MS.JAWERIYA MOHSIN</t>
  </si>
  <si>
    <t>Student1729021</t>
  </si>
  <si>
    <t>MR.MUHAMMAD MEHBOOB ALI</t>
  </si>
  <si>
    <t>Student1729558</t>
  </si>
  <si>
    <t>MR.AZIZ ULLAH KHAN</t>
  </si>
  <si>
    <t>Student1729071</t>
  </si>
  <si>
    <t>MS.SYEDA MARYAM</t>
  </si>
  <si>
    <t>Student1728368</t>
  </si>
  <si>
    <t>OV-1450-SCAMP-UIUX</t>
  </si>
  <si>
    <t>MR.MUHAMMAD JUNAID</t>
  </si>
  <si>
    <t>UIUX-202604D</t>
  </si>
  <si>
    <t>Student1729295</t>
  </si>
  <si>
    <t>MS.WAREESHA KHAN</t>
  </si>
  <si>
    <t>Student1730550</t>
  </si>
  <si>
    <t>Student1729820</t>
  </si>
  <si>
    <t>Student1729760</t>
  </si>
  <si>
    <t>Student1730031</t>
  </si>
  <si>
    <t>Student1730293</t>
  </si>
  <si>
    <t>Student1730643</t>
  </si>
  <si>
    <t>Student1730557</t>
  </si>
  <si>
    <t>MS.UJALA NAEEM</t>
  </si>
  <si>
    <t>MS.FATIMA ZEHRA SOOMRO</t>
  </si>
  <si>
    <t>MS.SIDRA FAIZAN</t>
  </si>
  <si>
    <t>MS.RABEEZA ANSARI</t>
  </si>
  <si>
    <t>MS.ESHA MALIK</t>
  </si>
  <si>
    <t>MR.SYED FARZAM ALI</t>
  </si>
  <si>
    <t>MR.SYED HUSSAIN ALI</t>
  </si>
  <si>
    <t>-</t>
  </si>
  <si>
    <t xml:space="preserve">MS.KULSOOM ARIF </t>
  </si>
  <si>
    <r>
      <t xml:space="preserve">OV-1334-OFFICE16 </t>
    </r>
    <r>
      <rPr>
        <b/>
        <sz val="11"/>
        <color theme="1"/>
        <rFont val="Aptos Narrow"/>
        <family val="2"/>
        <scheme val="minor"/>
      </rPr>
      <t>CC</t>
    </r>
  </si>
  <si>
    <r>
      <t xml:space="preserve">OV-1220-HTML </t>
    </r>
    <r>
      <rPr>
        <b/>
        <sz val="11"/>
        <color theme="1"/>
        <rFont val="Aptos Narrow"/>
        <family val="2"/>
        <scheme val="minor"/>
      </rPr>
      <t>CC</t>
    </r>
  </si>
  <si>
    <t>Student1722785</t>
  </si>
  <si>
    <t>MS.QURRAT UL AIN</t>
  </si>
  <si>
    <t>MS.HAFIZA SAIMA</t>
  </si>
  <si>
    <t>OV-1220-HTMLRWD</t>
  </si>
  <si>
    <t>Student1729938</t>
  </si>
  <si>
    <t>Student1728832</t>
  </si>
  <si>
    <t>MS.WARSHA BASHEER</t>
  </si>
  <si>
    <t>WD-202605C</t>
  </si>
  <si>
    <t>OV-7030-SP-OSTWEB</t>
  </si>
  <si>
    <t>Student1730688</t>
  </si>
  <si>
    <t>MR.MUHAMMAD SHAYAN KASHIF</t>
  </si>
  <si>
    <t>Student1730553</t>
  </si>
  <si>
    <t>MS.HAFSA SAEED</t>
  </si>
  <si>
    <t>MS.SONIA SAEED</t>
  </si>
  <si>
    <t>Student1730555</t>
  </si>
  <si>
    <t>Student1730554</t>
  </si>
  <si>
    <t>MS.MUZNAH FAROOQ</t>
  </si>
  <si>
    <t>Student1730640</t>
  </si>
  <si>
    <t>MS.ZAINAB BUSHRA</t>
  </si>
  <si>
    <t>MR.SAMAR</t>
  </si>
  <si>
    <t>MS.FAIZA ISHTIAQ</t>
  </si>
  <si>
    <t>MS.KULSOOM KHAN</t>
  </si>
  <si>
    <t>MS.MUQADDAS NAZ</t>
  </si>
  <si>
    <t>MR.SYED MUHAMMAD AAISH ALI</t>
  </si>
  <si>
    <t>MS.MAIRA KALEEM</t>
  </si>
  <si>
    <t>MR.MEHBOOB ALI</t>
  </si>
  <si>
    <t>MR.KHUBAIB AZHAR</t>
  </si>
  <si>
    <t>MR.SYED MUHAMMAD HUZAIFA ALI</t>
  </si>
  <si>
    <t>MS.IQRA KHAN</t>
  </si>
  <si>
    <t>UIUX-202605E</t>
  </si>
  <si>
    <t>Student1730581</t>
  </si>
  <si>
    <t>Student1730345</t>
  </si>
  <si>
    <t>Student1729017</t>
  </si>
  <si>
    <t>Student1730561</t>
  </si>
  <si>
    <t>Student1730646</t>
  </si>
  <si>
    <t>Student1730799</t>
  </si>
  <si>
    <t>Student1730917</t>
  </si>
  <si>
    <t>Student1730918</t>
  </si>
  <si>
    <t>Student1730916</t>
  </si>
  <si>
    <t>Student1730830</t>
  </si>
  <si>
    <t>Student1731199</t>
  </si>
  <si>
    <t>MS.UZMA</t>
  </si>
  <si>
    <t>Student1731075</t>
  </si>
  <si>
    <t>Student1731448</t>
  </si>
  <si>
    <t>MS.MUSKAN</t>
  </si>
  <si>
    <t>MS.ZAINAB</t>
  </si>
  <si>
    <t>Student1702946</t>
  </si>
  <si>
    <t>MR.RYAN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</si>
</sst>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C133-18B2-4908-8993-A955DAA7BC40}">
  <dimension ref="A1:M67"/>
  <sheetViews>
    <sheetView tabSelected="1" workbookViewId="0">
      <selection activeCell="H10" sqref="H10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9.28515625" bestFit="1" customWidth="1"/>
    <col min="4" max="4" width="13.42578125" bestFit="1" customWidth="1"/>
    <col min="5" max="5" width="24" bestFit="1" customWidth="1"/>
    <col min="6" max="6" width="15.140625" bestFit="1" customWidth="1"/>
    <col min="7" max="7" width="20.7109375" bestFit="1" customWidth="1"/>
    <col min="8" max="8" width="37.140625" bestFit="1" customWidth="1"/>
    <col min="9" max="9" width="10.5703125" bestFit="1" customWidth="1"/>
    <col min="10" max="10" width="10.7109375" bestFit="1" customWidth="1"/>
    <col min="11" max="11" width="12.42578125" bestFit="1" customWidth="1"/>
    <col min="12" max="12" width="7.42578125" customWidth="1"/>
    <col min="13" max="13" width="1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3">
        <v>46172</v>
      </c>
      <c r="D2" s="2" t="s">
        <v>14</v>
      </c>
      <c r="E2" s="2" t="s">
        <v>15</v>
      </c>
      <c r="F2" s="4" t="s">
        <v>16</v>
      </c>
      <c r="G2" s="2" t="s">
        <v>17</v>
      </c>
      <c r="H2" s="5" t="s">
        <v>18</v>
      </c>
      <c r="I2" s="2">
        <v>80</v>
      </c>
      <c r="J2" s="2">
        <v>11</v>
      </c>
      <c r="K2" s="2">
        <v>11</v>
      </c>
      <c r="L2" s="2">
        <v>85</v>
      </c>
      <c r="M2" s="2">
        <v>90</v>
      </c>
    </row>
    <row r="3" spans="1:13" x14ac:dyDescent="0.25">
      <c r="A3" s="2">
        <v>2</v>
      </c>
      <c r="B3" s="2" t="s">
        <v>13</v>
      </c>
      <c r="C3" s="3">
        <v>46172</v>
      </c>
      <c r="D3" s="2" t="s">
        <v>14</v>
      </c>
      <c r="E3" s="2" t="s">
        <v>15</v>
      </c>
      <c r="F3" s="4" t="s">
        <v>19</v>
      </c>
      <c r="G3" s="2" t="s">
        <v>20</v>
      </c>
      <c r="H3" s="5" t="s">
        <v>21</v>
      </c>
      <c r="I3" s="2">
        <v>70</v>
      </c>
      <c r="J3" s="2">
        <v>11</v>
      </c>
      <c r="K3" s="2">
        <v>11</v>
      </c>
      <c r="L3" s="2">
        <v>80</v>
      </c>
      <c r="M3" s="2">
        <f t="shared" ref="M3:M8" si="0">(K3/J3*100)*0.4+(L3*0.5)+(I3*0.1)</f>
        <v>87</v>
      </c>
    </row>
    <row r="4" spans="1:13" x14ac:dyDescent="0.25">
      <c r="A4" s="2">
        <v>3</v>
      </c>
      <c r="B4" s="2" t="s">
        <v>13</v>
      </c>
      <c r="C4" s="3">
        <v>46172</v>
      </c>
      <c r="D4" s="2" t="s">
        <v>14</v>
      </c>
      <c r="E4" s="2" t="s">
        <v>15</v>
      </c>
      <c r="F4" s="4" t="s">
        <v>22</v>
      </c>
      <c r="G4" s="2" t="s">
        <v>23</v>
      </c>
      <c r="H4" s="5" t="s">
        <v>24</v>
      </c>
      <c r="I4" s="2">
        <v>0</v>
      </c>
      <c r="J4" s="2">
        <v>11</v>
      </c>
      <c r="K4" s="2">
        <v>0</v>
      </c>
      <c r="L4" s="2">
        <v>0</v>
      </c>
      <c r="M4" s="2">
        <f t="shared" si="0"/>
        <v>0</v>
      </c>
    </row>
    <row r="5" spans="1:13" x14ac:dyDescent="0.25">
      <c r="A5" s="2">
        <v>4</v>
      </c>
      <c r="B5" s="2" t="s">
        <v>13</v>
      </c>
      <c r="C5" s="3">
        <v>46172</v>
      </c>
      <c r="D5" s="2" t="s">
        <v>14</v>
      </c>
      <c r="E5" s="2" t="s">
        <v>15</v>
      </c>
      <c r="F5" s="4" t="s">
        <v>25</v>
      </c>
      <c r="G5" s="2" t="s">
        <v>23</v>
      </c>
      <c r="H5" s="5" t="s">
        <v>26</v>
      </c>
      <c r="I5" s="2">
        <v>95</v>
      </c>
      <c r="J5" s="2">
        <v>11</v>
      </c>
      <c r="K5" s="2">
        <v>11</v>
      </c>
      <c r="L5" s="2">
        <v>95</v>
      </c>
      <c r="M5" s="2">
        <f t="shared" si="0"/>
        <v>97</v>
      </c>
    </row>
    <row r="6" spans="1:13" x14ac:dyDescent="0.25">
      <c r="A6" s="2">
        <v>5</v>
      </c>
      <c r="B6" s="2" t="s">
        <v>13</v>
      </c>
      <c r="C6" s="3">
        <v>46172</v>
      </c>
      <c r="D6" s="2" t="s">
        <v>14</v>
      </c>
      <c r="E6" s="2" t="s">
        <v>15</v>
      </c>
      <c r="F6" s="6" t="s">
        <v>27</v>
      </c>
      <c r="G6" s="2" t="s">
        <v>20</v>
      </c>
      <c r="H6" s="6" t="s">
        <v>28</v>
      </c>
      <c r="I6" s="2">
        <v>55</v>
      </c>
      <c r="J6" s="2">
        <v>11</v>
      </c>
      <c r="K6" s="2">
        <v>11</v>
      </c>
      <c r="L6" s="2">
        <v>35</v>
      </c>
      <c r="M6" s="2">
        <f t="shared" si="0"/>
        <v>63</v>
      </c>
    </row>
    <row r="7" spans="1:13" x14ac:dyDescent="0.25">
      <c r="A7" s="2">
        <v>6</v>
      </c>
      <c r="B7" s="2" t="s">
        <v>13</v>
      </c>
      <c r="C7" s="3">
        <v>46172</v>
      </c>
      <c r="D7" s="2" t="s">
        <v>14</v>
      </c>
      <c r="E7" s="2" t="s">
        <v>15</v>
      </c>
      <c r="F7" s="6" t="s">
        <v>29</v>
      </c>
      <c r="G7" s="2" t="s">
        <v>72</v>
      </c>
      <c r="H7" s="6" t="s">
        <v>30</v>
      </c>
      <c r="I7" s="2" t="s">
        <v>69</v>
      </c>
      <c r="J7" s="2">
        <v>11</v>
      </c>
      <c r="K7" s="2">
        <v>0</v>
      </c>
      <c r="L7" s="2" t="s">
        <v>69</v>
      </c>
      <c r="M7" s="2" t="e">
        <f t="shared" si="0"/>
        <v>#VALUE!</v>
      </c>
    </row>
    <row r="8" spans="1:13" x14ac:dyDescent="0.25">
      <c r="A8" s="2">
        <v>7</v>
      </c>
      <c r="B8" s="2" t="s">
        <v>13</v>
      </c>
      <c r="C8" s="3">
        <v>46172</v>
      </c>
      <c r="D8" s="2" t="s">
        <v>14</v>
      </c>
      <c r="E8" s="2" t="s">
        <v>15</v>
      </c>
      <c r="F8" s="6" t="s">
        <v>31</v>
      </c>
      <c r="G8" s="2" t="s">
        <v>20</v>
      </c>
      <c r="H8" s="6" t="s">
        <v>32</v>
      </c>
      <c r="I8" s="2">
        <v>0</v>
      </c>
      <c r="J8" s="2">
        <v>11</v>
      </c>
      <c r="K8" s="2">
        <v>0</v>
      </c>
      <c r="L8" s="2">
        <v>0</v>
      </c>
      <c r="M8" s="2">
        <f t="shared" si="0"/>
        <v>0</v>
      </c>
    </row>
    <row r="9" spans="1:13" x14ac:dyDescent="0.25">
      <c r="A9" s="2">
        <v>8</v>
      </c>
      <c r="B9" s="2" t="s">
        <v>13</v>
      </c>
      <c r="C9" s="3">
        <v>46172</v>
      </c>
      <c r="D9" s="2" t="s">
        <v>33</v>
      </c>
      <c r="E9" s="2" t="s">
        <v>15</v>
      </c>
      <c r="F9" s="4" t="s">
        <v>34</v>
      </c>
      <c r="G9" s="2" t="s">
        <v>17</v>
      </c>
      <c r="H9" s="5" t="s">
        <v>35</v>
      </c>
      <c r="I9" s="2">
        <v>80</v>
      </c>
      <c r="J9" s="2">
        <v>11</v>
      </c>
      <c r="K9" s="2">
        <v>11</v>
      </c>
      <c r="L9" s="2">
        <v>85</v>
      </c>
      <c r="M9" s="2">
        <v>90</v>
      </c>
    </row>
    <row r="10" spans="1:13" x14ac:dyDescent="0.25">
      <c r="A10" s="2">
        <v>9</v>
      </c>
      <c r="B10" s="2" t="s">
        <v>13</v>
      </c>
      <c r="C10" s="3">
        <v>46172</v>
      </c>
      <c r="D10" s="2" t="s">
        <v>33</v>
      </c>
      <c r="E10" s="2" t="s">
        <v>15</v>
      </c>
      <c r="F10" s="4" t="s">
        <v>36</v>
      </c>
      <c r="G10" s="2" t="s">
        <v>17</v>
      </c>
      <c r="H10" s="5" t="s">
        <v>37</v>
      </c>
      <c r="I10" s="2">
        <v>70</v>
      </c>
      <c r="J10" s="2">
        <v>11</v>
      </c>
      <c r="K10" s="2">
        <v>11</v>
      </c>
      <c r="L10" s="2">
        <v>75</v>
      </c>
      <c r="M10" s="2">
        <f t="shared" ref="M10:M18" si="1">(K10/J10*100)*0.4+(L10*0.5)+(I10*0.1)</f>
        <v>84.5</v>
      </c>
    </row>
    <row r="11" spans="1:13" x14ac:dyDescent="0.25">
      <c r="A11" s="2">
        <v>10</v>
      </c>
      <c r="B11" s="2" t="s">
        <v>13</v>
      </c>
      <c r="C11" s="3">
        <v>46172</v>
      </c>
      <c r="D11" s="2" t="s">
        <v>33</v>
      </c>
      <c r="E11" s="2" t="s">
        <v>15</v>
      </c>
      <c r="F11" s="4" t="s">
        <v>38</v>
      </c>
      <c r="G11" s="2" t="s">
        <v>20</v>
      </c>
      <c r="H11" s="6" t="s">
        <v>39</v>
      </c>
      <c r="I11" s="2">
        <v>85</v>
      </c>
      <c r="J11" s="2">
        <v>11</v>
      </c>
      <c r="K11" s="2">
        <v>11</v>
      </c>
      <c r="L11" s="2">
        <v>95</v>
      </c>
      <c r="M11" s="2">
        <f t="shared" si="1"/>
        <v>96</v>
      </c>
    </row>
    <row r="12" spans="1:13" x14ac:dyDescent="0.25">
      <c r="A12" s="2">
        <v>11</v>
      </c>
      <c r="B12" s="2" t="s">
        <v>13</v>
      </c>
      <c r="C12" s="3">
        <v>46172</v>
      </c>
      <c r="D12" s="2" t="s">
        <v>33</v>
      </c>
      <c r="E12" s="2" t="s">
        <v>15</v>
      </c>
      <c r="F12" s="4" t="s">
        <v>40</v>
      </c>
      <c r="G12" s="2" t="s">
        <v>71</v>
      </c>
      <c r="H12" s="6" t="s">
        <v>70</v>
      </c>
      <c r="I12" s="2" t="s">
        <v>69</v>
      </c>
      <c r="J12" s="2">
        <v>11</v>
      </c>
      <c r="K12" s="2">
        <v>0</v>
      </c>
      <c r="L12" s="2" t="s">
        <v>69</v>
      </c>
      <c r="M12" s="2" t="e">
        <f t="shared" si="1"/>
        <v>#VALUE!</v>
      </c>
    </row>
    <row r="13" spans="1:13" x14ac:dyDescent="0.25">
      <c r="A13" s="2">
        <v>12</v>
      </c>
      <c r="B13" s="2" t="s">
        <v>13</v>
      </c>
      <c r="C13" s="3">
        <v>46172</v>
      </c>
      <c r="D13" s="2" t="s">
        <v>33</v>
      </c>
      <c r="E13" s="2" t="s">
        <v>15</v>
      </c>
      <c r="F13" s="4" t="s">
        <v>41</v>
      </c>
      <c r="G13" s="2" t="s">
        <v>71</v>
      </c>
      <c r="H13" s="6" t="s">
        <v>42</v>
      </c>
      <c r="I13" s="2" t="s">
        <v>69</v>
      </c>
      <c r="J13" s="2">
        <v>11</v>
      </c>
      <c r="K13" s="2">
        <v>0</v>
      </c>
      <c r="L13" s="2" t="s">
        <v>69</v>
      </c>
      <c r="M13" s="2" t="e">
        <f t="shared" si="1"/>
        <v>#VALUE!</v>
      </c>
    </row>
    <row r="14" spans="1:13" x14ac:dyDescent="0.25">
      <c r="A14" s="2">
        <v>13</v>
      </c>
      <c r="B14" s="2" t="s">
        <v>13</v>
      </c>
      <c r="C14" s="3">
        <v>46172</v>
      </c>
      <c r="D14" s="2" t="s">
        <v>33</v>
      </c>
      <c r="E14" s="2" t="s">
        <v>15</v>
      </c>
      <c r="F14" s="4" t="s">
        <v>43</v>
      </c>
      <c r="G14" s="2" t="s">
        <v>71</v>
      </c>
      <c r="H14" s="6" t="s">
        <v>44</v>
      </c>
      <c r="I14" s="2" t="s">
        <v>69</v>
      </c>
      <c r="J14" s="2">
        <v>11</v>
      </c>
      <c r="K14" s="2">
        <v>0</v>
      </c>
      <c r="L14" s="2" t="s">
        <v>69</v>
      </c>
      <c r="M14" s="2" t="e">
        <f t="shared" si="1"/>
        <v>#VALUE!</v>
      </c>
    </row>
    <row r="15" spans="1:13" x14ac:dyDescent="0.25">
      <c r="A15" s="2">
        <v>14</v>
      </c>
      <c r="B15" s="2" t="s">
        <v>13</v>
      </c>
      <c r="C15" s="3">
        <v>46172</v>
      </c>
      <c r="D15" s="2" t="s">
        <v>33</v>
      </c>
      <c r="E15" s="2" t="s">
        <v>15</v>
      </c>
      <c r="F15" s="4" t="s">
        <v>77</v>
      </c>
      <c r="G15" s="2" t="s">
        <v>76</v>
      </c>
      <c r="H15" s="6" t="s">
        <v>75</v>
      </c>
      <c r="I15" s="2">
        <v>85</v>
      </c>
      <c r="J15" s="2">
        <v>11</v>
      </c>
      <c r="K15" s="2">
        <v>10</v>
      </c>
      <c r="L15" s="2">
        <v>79</v>
      </c>
      <c r="M15" s="2">
        <f t="shared" ref="M15" si="2">(K15/J15*100)*0.4+(L15*0.5)+(I15*0.1)</f>
        <v>84.363636363636374</v>
      </c>
    </row>
    <row r="16" spans="1:13" x14ac:dyDescent="0.25">
      <c r="A16" s="2">
        <v>15</v>
      </c>
      <c r="B16" s="2" t="s">
        <v>13</v>
      </c>
      <c r="C16" s="3">
        <v>46172</v>
      </c>
      <c r="D16" s="2" t="s">
        <v>33</v>
      </c>
      <c r="E16" s="2" t="s">
        <v>15</v>
      </c>
      <c r="F16" s="4" t="s">
        <v>119</v>
      </c>
      <c r="G16" s="2" t="s">
        <v>17</v>
      </c>
      <c r="H16" s="6" t="s">
        <v>120</v>
      </c>
      <c r="I16" s="2"/>
      <c r="J16" s="2">
        <v>11</v>
      </c>
      <c r="K16" s="2"/>
      <c r="L16" s="2"/>
      <c r="M16" s="2"/>
    </row>
    <row r="17" spans="1:13" x14ac:dyDescent="0.25">
      <c r="A17" s="2">
        <v>16</v>
      </c>
      <c r="B17" s="2" t="s">
        <v>13</v>
      </c>
      <c r="C17" s="3">
        <v>46172</v>
      </c>
      <c r="D17" s="2" t="s">
        <v>33</v>
      </c>
      <c r="E17" s="2" t="s">
        <v>15</v>
      </c>
      <c r="F17" s="4" t="s">
        <v>73</v>
      </c>
      <c r="G17" s="2" t="s">
        <v>17</v>
      </c>
      <c r="H17" s="6" t="s">
        <v>74</v>
      </c>
      <c r="I17" s="2">
        <v>45</v>
      </c>
      <c r="J17" s="2">
        <v>11</v>
      </c>
      <c r="K17" s="2">
        <v>4</v>
      </c>
      <c r="L17" s="2">
        <v>50</v>
      </c>
      <c r="M17" s="2">
        <f t="shared" ref="M17" si="3">(K17/J17*100)*0.4+(L17*0.5)+(I17*0.1)</f>
        <v>44.045454545454547</v>
      </c>
    </row>
    <row r="18" spans="1:13" x14ac:dyDescent="0.25">
      <c r="A18" s="2">
        <v>17</v>
      </c>
      <c r="B18" s="2" t="s">
        <v>13</v>
      </c>
      <c r="C18" s="3">
        <v>46172</v>
      </c>
      <c r="D18" s="2" t="s">
        <v>33</v>
      </c>
      <c r="E18" s="2" t="s">
        <v>15</v>
      </c>
      <c r="F18" s="4" t="s">
        <v>45</v>
      </c>
      <c r="G18" s="2" t="s">
        <v>17</v>
      </c>
      <c r="H18" s="6" t="s">
        <v>46</v>
      </c>
      <c r="I18" s="2">
        <v>70</v>
      </c>
      <c r="J18" s="2">
        <v>11</v>
      </c>
      <c r="K18" s="2">
        <v>11</v>
      </c>
      <c r="L18" s="2">
        <v>80</v>
      </c>
      <c r="M18" s="2">
        <f t="shared" si="1"/>
        <v>87</v>
      </c>
    </row>
    <row r="19" spans="1:13" x14ac:dyDescent="0.25">
      <c r="A19" s="2">
        <v>18</v>
      </c>
      <c r="B19" s="2" t="s">
        <v>13</v>
      </c>
      <c r="C19" s="3">
        <v>46172</v>
      </c>
      <c r="D19" s="2" t="s">
        <v>33</v>
      </c>
      <c r="E19" s="2" t="s">
        <v>15</v>
      </c>
      <c r="F19" s="4" t="s">
        <v>47</v>
      </c>
      <c r="G19" s="2" t="s">
        <v>71</v>
      </c>
      <c r="H19" s="2" t="s">
        <v>48</v>
      </c>
      <c r="I19" s="2" t="s">
        <v>69</v>
      </c>
      <c r="J19" s="2">
        <v>11</v>
      </c>
      <c r="K19" s="2">
        <v>0</v>
      </c>
      <c r="L19" s="2" t="s">
        <v>69</v>
      </c>
      <c r="M19" s="2" t="e">
        <f t="shared" ref="M19:M48" si="4">(K19/J19*100)*0.4+(L19*0.5)+(I19*0.1)</f>
        <v>#VALUE!</v>
      </c>
    </row>
    <row r="20" spans="1:13" x14ac:dyDescent="0.25">
      <c r="A20" s="2">
        <v>19</v>
      </c>
      <c r="B20" s="2" t="s">
        <v>13</v>
      </c>
      <c r="C20" s="3">
        <v>46172</v>
      </c>
      <c r="D20" s="2" t="s">
        <v>52</v>
      </c>
      <c r="E20" s="2" t="s">
        <v>15</v>
      </c>
      <c r="F20" s="7" t="s">
        <v>49</v>
      </c>
      <c r="G20" s="2" t="s">
        <v>50</v>
      </c>
      <c r="H20" s="6" t="s">
        <v>51</v>
      </c>
      <c r="I20" s="2">
        <v>80</v>
      </c>
      <c r="J20" s="2">
        <v>11</v>
      </c>
      <c r="K20" s="2">
        <v>5</v>
      </c>
      <c r="L20" s="2">
        <v>96</v>
      </c>
      <c r="M20" s="2">
        <f t="shared" si="4"/>
        <v>74.181818181818187</v>
      </c>
    </row>
    <row r="21" spans="1:13" x14ac:dyDescent="0.25">
      <c r="A21" s="2">
        <v>20</v>
      </c>
      <c r="B21" s="2" t="s">
        <v>13</v>
      </c>
      <c r="C21" s="3">
        <v>46172</v>
      </c>
      <c r="D21" s="2" t="s">
        <v>52</v>
      </c>
      <c r="E21" s="2" t="s">
        <v>15</v>
      </c>
      <c r="F21" s="7" t="s">
        <v>78</v>
      </c>
      <c r="G21" s="2" t="s">
        <v>50</v>
      </c>
      <c r="H21" s="6" t="s">
        <v>79</v>
      </c>
      <c r="I21" s="2">
        <v>72</v>
      </c>
      <c r="J21" s="2">
        <v>11</v>
      </c>
      <c r="K21" s="2">
        <v>5</v>
      </c>
      <c r="L21" s="2">
        <v>69</v>
      </c>
      <c r="M21" s="2">
        <f t="shared" si="4"/>
        <v>59.88181818181819</v>
      </c>
    </row>
    <row r="22" spans="1:13" x14ac:dyDescent="0.25">
      <c r="A22" s="2">
        <v>21</v>
      </c>
      <c r="B22" s="2" t="s">
        <v>13</v>
      </c>
      <c r="C22" s="3">
        <v>46172</v>
      </c>
      <c r="D22" s="2" t="s">
        <v>52</v>
      </c>
      <c r="E22" s="2" t="s">
        <v>15</v>
      </c>
      <c r="F22" s="4" t="s">
        <v>53</v>
      </c>
      <c r="G22" s="2" t="s">
        <v>50</v>
      </c>
      <c r="H22" s="6" t="s">
        <v>54</v>
      </c>
      <c r="I22" s="2">
        <v>70</v>
      </c>
      <c r="J22" s="2">
        <v>11</v>
      </c>
      <c r="K22" s="2">
        <v>9</v>
      </c>
      <c r="L22" s="2">
        <v>80</v>
      </c>
      <c r="M22" s="2">
        <f t="shared" si="4"/>
        <v>79.727272727272734</v>
      </c>
    </row>
    <row r="23" spans="1:13" x14ac:dyDescent="0.25">
      <c r="A23" s="2">
        <v>22</v>
      </c>
      <c r="B23" s="2" t="s">
        <v>13</v>
      </c>
      <c r="C23" s="3">
        <v>46172</v>
      </c>
      <c r="D23" s="2" t="s">
        <v>52</v>
      </c>
      <c r="E23" s="2" t="s">
        <v>15</v>
      </c>
      <c r="F23" s="4" t="s">
        <v>55</v>
      </c>
      <c r="G23" s="2" t="s">
        <v>50</v>
      </c>
      <c r="H23" s="6" t="s">
        <v>62</v>
      </c>
      <c r="I23" s="7">
        <v>65</v>
      </c>
      <c r="J23" s="2">
        <v>11</v>
      </c>
      <c r="K23" s="7">
        <v>7</v>
      </c>
      <c r="L23" s="7">
        <v>74</v>
      </c>
      <c r="M23" s="7">
        <f t="shared" si="4"/>
        <v>68.954545454545453</v>
      </c>
    </row>
    <row r="24" spans="1:13" x14ac:dyDescent="0.25">
      <c r="A24" s="2">
        <v>23</v>
      </c>
      <c r="B24" s="2" t="s">
        <v>13</v>
      </c>
      <c r="C24" s="3">
        <v>46172</v>
      </c>
      <c r="D24" s="2" t="s">
        <v>52</v>
      </c>
      <c r="E24" s="2" t="s">
        <v>15</v>
      </c>
      <c r="F24" s="4" t="s">
        <v>56</v>
      </c>
      <c r="G24" s="2" t="s">
        <v>50</v>
      </c>
      <c r="H24" s="6" t="s">
        <v>63</v>
      </c>
      <c r="I24" s="7">
        <v>55</v>
      </c>
      <c r="J24" s="2">
        <v>11</v>
      </c>
      <c r="K24" s="7">
        <v>7</v>
      </c>
      <c r="L24" s="7">
        <v>60</v>
      </c>
      <c r="M24" s="7">
        <f t="shared" si="4"/>
        <v>60.954545454545453</v>
      </c>
    </row>
    <row r="25" spans="1:13" x14ac:dyDescent="0.25">
      <c r="A25" s="2">
        <v>24</v>
      </c>
      <c r="B25" s="2" t="s">
        <v>13</v>
      </c>
      <c r="C25" s="3">
        <v>46172</v>
      </c>
      <c r="D25" s="2" t="s">
        <v>52</v>
      </c>
      <c r="E25" s="2" t="s">
        <v>15</v>
      </c>
      <c r="F25" s="4" t="s">
        <v>57</v>
      </c>
      <c r="G25" s="2" t="s">
        <v>50</v>
      </c>
      <c r="H25" s="6" t="s">
        <v>64</v>
      </c>
      <c r="I25" s="7">
        <v>70</v>
      </c>
      <c r="J25" s="2">
        <v>11</v>
      </c>
      <c r="K25" s="7">
        <v>7</v>
      </c>
      <c r="L25" s="7">
        <v>75</v>
      </c>
      <c r="M25" s="7">
        <f t="shared" si="4"/>
        <v>69.954545454545453</v>
      </c>
    </row>
    <row r="26" spans="1:13" x14ac:dyDescent="0.25">
      <c r="A26" s="2">
        <v>25</v>
      </c>
      <c r="B26" s="2" t="s">
        <v>13</v>
      </c>
      <c r="C26" s="3">
        <v>46172</v>
      </c>
      <c r="D26" s="2" t="s">
        <v>52</v>
      </c>
      <c r="E26" s="2" t="s">
        <v>15</v>
      </c>
      <c r="F26" s="4" t="s">
        <v>58</v>
      </c>
      <c r="G26" s="2" t="s">
        <v>50</v>
      </c>
      <c r="H26" s="6" t="s">
        <v>65</v>
      </c>
      <c r="I26" s="7">
        <v>85</v>
      </c>
      <c r="J26" s="2">
        <v>11</v>
      </c>
      <c r="K26" s="7">
        <v>7</v>
      </c>
      <c r="L26" s="7">
        <v>80</v>
      </c>
      <c r="M26" s="7">
        <f t="shared" si="4"/>
        <v>73.954545454545453</v>
      </c>
    </row>
    <row r="27" spans="1:13" x14ac:dyDescent="0.25">
      <c r="A27" s="2">
        <v>26</v>
      </c>
      <c r="B27" s="2" t="s">
        <v>13</v>
      </c>
      <c r="C27" s="3">
        <v>46172</v>
      </c>
      <c r="D27" s="2" t="s">
        <v>52</v>
      </c>
      <c r="E27" s="2" t="s">
        <v>15</v>
      </c>
      <c r="F27" s="4" t="s">
        <v>59</v>
      </c>
      <c r="G27" s="2" t="s">
        <v>50</v>
      </c>
      <c r="H27" s="6" t="s">
        <v>66</v>
      </c>
      <c r="I27" s="7">
        <v>69</v>
      </c>
      <c r="J27" s="2">
        <v>11</v>
      </c>
      <c r="K27" s="7">
        <v>7</v>
      </c>
      <c r="L27" s="7">
        <v>65</v>
      </c>
      <c r="M27" s="7">
        <f t="shared" si="4"/>
        <v>64.854545454545459</v>
      </c>
    </row>
    <row r="28" spans="1:13" x14ac:dyDescent="0.25">
      <c r="A28" s="2">
        <v>27</v>
      </c>
      <c r="B28" s="2" t="s">
        <v>13</v>
      </c>
      <c r="C28" s="3">
        <v>46172</v>
      </c>
      <c r="D28" s="2" t="s">
        <v>52</v>
      </c>
      <c r="E28" s="2" t="s">
        <v>15</v>
      </c>
      <c r="F28" s="4" t="s">
        <v>60</v>
      </c>
      <c r="G28" s="2" t="s">
        <v>50</v>
      </c>
      <c r="H28" s="6" t="s">
        <v>67</v>
      </c>
      <c r="I28" s="7">
        <v>79</v>
      </c>
      <c r="J28" s="2">
        <v>11</v>
      </c>
      <c r="K28" s="7">
        <v>6</v>
      </c>
      <c r="L28" s="7">
        <v>80</v>
      </c>
      <c r="M28" s="7">
        <f t="shared" si="4"/>
        <v>69.718181818181819</v>
      </c>
    </row>
    <row r="29" spans="1:13" x14ac:dyDescent="0.25">
      <c r="A29" s="2">
        <v>28</v>
      </c>
      <c r="B29" s="2" t="s">
        <v>13</v>
      </c>
      <c r="C29" s="3">
        <v>46172</v>
      </c>
      <c r="D29" s="2" t="s">
        <v>52</v>
      </c>
      <c r="E29" s="2" t="s">
        <v>15</v>
      </c>
      <c r="F29" s="4" t="s">
        <v>61</v>
      </c>
      <c r="G29" s="2" t="s">
        <v>50</v>
      </c>
      <c r="H29" s="6" t="s">
        <v>68</v>
      </c>
      <c r="I29" s="7">
        <v>80</v>
      </c>
      <c r="J29" s="2">
        <v>11</v>
      </c>
      <c r="K29" s="7">
        <v>7</v>
      </c>
      <c r="L29" s="7">
        <v>72</v>
      </c>
      <c r="M29" s="7">
        <f t="shared" si="4"/>
        <v>69.454545454545453</v>
      </c>
    </row>
    <row r="30" spans="1:13" x14ac:dyDescent="0.25">
      <c r="A30" s="2">
        <v>29</v>
      </c>
      <c r="B30" s="2" t="s">
        <v>13</v>
      </c>
      <c r="C30" s="3">
        <v>46172</v>
      </c>
      <c r="D30" s="2" t="s">
        <v>80</v>
      </c>
      <c r="E30" s="2" t="s">
        <v>15</v>
      </c>
      <c r="F30" s="7" t="s">
        <v>82</v>
      </c>
      <c r="G30" s="2" t="s">
        <v>81</v>
      </c>
      <c r="H30" s="7" t="s">
        <v>83</v>
      </c>
      <c r="I30" s="7">
        <v>65</v>
      </c>
      <c r="J30" s="7">
        <v>11</v>
      </c>
      <c r="K30" s="7">
        <v>4</v>
      </c>
      <c r="L30" s="7">
        <v>60</v>
      </c>
      <c r="M30" s="7">
        <f t="shared" si="4"/>
        <v>51.045454545454547</v>
      </c>
    </row>
    <row r="31" spans="1:13" x14ac:dyDescent="0.25">
      <c r="A31" s="2">
        <v>30</v>
      </c>
      <c r="B31" s="2" t="s">
        <v>13</v>
      </c>
      <c r="C31" s="3">
        <v>46172</v>
      </c>
      <c r="D31" s="2" t="s">
        <v>80</v>
      </c>
      <c r="E31" s="2" t="s">
        <v>15</v>
      </c>
      <c r="F31" s="7" t="s">
        <v>84</v>
      </c>
      <c r="G31" s="7" t="s">
        <v>76</v>
      </c>
      <c r="H31" s="7" t="s">
        <v>85</v>
      </c>
      <c r="I31" s="7">
        <v>55</v>
      </c>
      <c r="J31" s="7">
        <v>11</v>
      </c>
      <c r="K31" s="7">
        <v>4</v>
      </c>
      <c r="L31" s="7">
        <v>59</v>
      </c>
      <c r="M31" s="7">
        <f t="shared" si="4"/>
        <v>49.545454545454547</v>
      </c>
    </row>
    <row r="32" spans="1:13" x14ac:dyDescent="0.25">
      <c r="A32" s="2">
        <v>31</v>
      </c>
      <c r="B32" s="2" t="s">
        <v>13</v>
      </c>
      <c r="C32" s="3">
        <v>46172</v>
      </c>
      <c r="D32" s="2" t="s">
        <v>80</v>
      </c>
      <c r="E32" s="2" t="s">
        <v>15</v>
      </c>
      <c r="F32" s="7" t="s">
        <v>87</v>
      </c>
      <c r="G32" s="7" t="s">
        <v>76</v>
      </c>
      <c r="H32" s="7" t="s">
        <v>86</v>
      </c>
      <c r="I32" s="7">
        <v>50</v>
      </c>
      <c r="J32" s="7">
        <v>11</v>
      </c>
      <c r="K32" s="7">
        <v>4</v>
      </c>
      <c r="L32" s="7">
        <v>55</v>
      </c>
      <c r="M32" s="7">
        <f t="shared" si="4"/>
        <v>47.045454545454547</v>
      </c>
    </row>
    <row r="33" spans="1:13" x14ac:dyDescent="0.25">
      <c r="A33" s="2">
        <v>32</v>
      </c>
      <c r="B33" s="2" t="s">
        <v>13</v>
      </c>
      <c r="C33" s="3">
        <v>46172</v>
      </c>
      <c r="D33" s="2" t="s">
        <v>80</v>
      </c>
      <c r="E33" s="2" t="s">
        <v>15</v>
      </c>
      <c r="F33" s="7" t="s">
        <v>88</v>
      </c>
      <c r="G33" s="7" t="s">
        <v>76</v>
      </c>
      <c r="H33" s="7" t="s">
        <v>89</v>
      </c>
      <c r="I33" s="7">
        <v>59</v>
      </c>
      <c r="J33" s="7">
        <v>11</v>
      </c>
      <c r="K33" s="7">
        <v>4</v>
      </c>
      <c r="L33" s="7">
        <v>62</v>
      </c>
      <c r="M33" s="7">
        <f t="shared" si="4"/>
        <v>51.445454545454545</v>
      </c>
    </row>
    <row r="34" spans="1:13" x14ac:dyDescent="0.25">
      <c r="A34" s="2">
        <v>33</v>
      </c>
      <c r="B34" s="2" t="s">
        <v>13</v>
      </c>
      <c r="C34" s="3">
        <v>46172</v>
      </c>
      <c r="D34" s="2" t="s">
        <v>80</v>
      </c>
      <c r="E34" s="2" t="s">
        <v>15</v>
      </c>
      <c r="F34" s="7" t="s">
        <v>90</v>
      </c>
      <c r="G34" s="7" t="s">
        <v>76</v>
      </c>
      <c r="H34" s="7" t="s">
        <v>91</v>
      </c>
      <c r="I34" s="7">
        <v>65</v>
      </c>
      <c r="J34" s="7">
        <v>11</v>
      </c>
      <c r="K34" s="7">
        <v>4</v>
      </c>
      <c r="L34" s="7">
        <v>75</v>
      </c>
      <c r="M34" s="7">
        <f t="shared" si="4"/>
        <v>58.545454545454547</v>
      </c>
    </row>
    <row r="35" spans="1:13" x14ac:dyDescent="0.25">
      <c r="A35" s="2">
        <v>34</v>
      </c>
      <c r="B35" s="2" t="s">
        <v>13</v>
      </c>
      <c r="C35" s="3">
        <v>46172</v>
      </c>
      <c r="D35" s="2" t="s">
        <v>102</v>
      </c>
      <c r="E35" s="2" t="s">
        <v>15</v>
      </c>
      <c r="F35" s="4" t="s">
        <v>103</v>
      </c>
      <c r="G35" s="2" t="s">
        <v>50</v>
      </c>
      <c r="H35" s="8" t="s">
        <v>92</v>
      </c>
      <c r="I35" s="7">
        <v>55</v>
      </c>
      <c r="J35" s="7">
        <v>11</v>
      </c>
      <c r="K35" s="7">
        <v>4</v>
      </c>
      <c r="L35" s="7">
        <v>45</v>
      </c>
      <c r="M35" s="7">
        <f t="shared" si="4"/>
        <v>42.545454545454547</v>
      </c>
    </row>
    <row r="36" spans="1:13" x14ac:dyDescent="0.25">
      <c r="A36" s="2">
        <v>35</v>
      </c>
      <c r="B36" s="2" t="s">
        <v>13</v>
      </c>
      <c r="C36" s="3">
        <v>46172</v>
      </c>
      <c r="D36" s="2" t="s">
        <v>102</v>
      </c>
      <c r="E36" s="2" t="s">
        <v>15</v>
      </c>
      <c r="F36" s="4" t="s">
        <v>104</v>
      </c>
      <c r="G36" s="2" t="s">
        <v>50</v>
      </c>
      <c r="H36" s="8" t="s">
        <v>93</v>
      </c>
      <c r="I36" s="7">
        <v>59</v>
      </c>
      <c r="J36" s="7">
        <v>11</v>
      </c>
      <c r="K36" s="7">
        <v>4</v>
      </c>
      <c r="L36" s="7">
        <v>52</v>
      </c>
      <c r="M36" s="7">
        <f t="shared" si="4"/>
        <v>46.445454545454545</v>
      </c>
    </row>
    <row r="37" spans="1:13" x14ac:dyDescent="0.25">
      <c r="A37" s="2">
        <v>36</v>
      </c>
      <c r="B37" s="2" t="s">
        <v>13</v>
      </c>
      <c r="C37" s="3">
        <v>46172</v>
      </c>
      <c r="D37" s="2" t="s">
        <v>102</v>
      </c>
      <c r="E37" s="2" t="s">
        <v>15</v>
      </c>
      <c r="F37" s="4" t="s">
        <v>105</v>
      </c>
      <c r="G37" s="2" t="s">
        <v>50</v>
      </c>
      <c r="H37" s="8" t="s">
        <v>94</v>
      </c>
      <c r="I37" s="7">
        <v>56</v>
      </c>
      <c r="J37" s="7">
        <v>11</v>
      </c>
      <c r="K37" s="7">
        <v>4</v>
      </c>
      <c r="L37" s="7">
        <v>65</v>
      </c>
      <c r="M37" s="7">
        <f t="shared" si="4"/>
        <v>52.645454545454548</v>
      </c>
    </row>
    <row r="38" spans="1:13" x14ac:dyDescent="0.25">
      <c r="A38" s="2">
        <v>37</v>
      </c>
      <c r="B38" s="2" t="s">
        <v>13</v>
      </c>
      <c r="C38" s="3">
        <v>46172</v>
      </c>
      <c r="D38" s="2" t="s">
        <v>102</v>
      </c>
      <c r="E38" s="2" t="s">
        <v>15</v>
      </c>
      <c r="F38" s="4" t="s">
        <v>106</v>
      </c>
      <c r="G38" s="2" t="s">
        <v>50</v>
      </c>
      <c r="H38" s="8" t="s">
        <v>95</v>
      </c>
      <c r="I38" s="7">
        <v>42</v>
      </c>
      <c r="J38" s="7">
        <v>11</v>
      </c>
      <c r="K38" s="7">
        <v>4</v>
      </c>
      <c r="L38" s="7">
        <v>49</v>
      </c>
      <c r="M38" s="7">
        <f t="shared" si="4"/>
        <v>43.24545454545455</v>
      </c>
    </row>
    <row r="39" spans="1:13" x14ac:dyDescent="0.25">
      <c r="A39" s="2">
        <v>38</v>
      </c>
      <c r="B39" s="2" t="s">
        <v>13</v>
      </c>
      <c r="C39" s="3">
        <v>46172</v>
      </c>
      <c r="D39" s="2" t="s">
        <v>102</v>
      </c>
      <c r="E39" s="2" t="s">
        <v>15</v>
      </c>
      <c r="F39" s="4" t="s">
        <v>107</v>
      </c>
      <c r="G39" s="2" t="s">
        <v>50</v>
      </c>
      <c r="H39" s="8" t="s">
        <v>96</v>
      </c>
      <c r="I39" s="7">
        <v>61</v>
      </c>
      <c r="J39" s="7">
        <v>11</v>
      </c>
      <c r="K39" s="7">
        <v>4</v>
      </c>
      <c r="L39" s="7">
        <v>50</v>
      </c>
      <c r="M39" s="7">
        <f t="shared" si="4"/>
        <v>45.645454545454548</v>
      </c>
    </row>
    <row r="40" spans="1:13" x14ac:dyDescent="0.25">
      <c r="A40" s="2">
        <v>39</v>
      </c>
      <c r="B40" s="2" t="s">
        <v>13</v>
      </c>
      <c r="C40" s="3">
        <v>46172</v>
      </c>
      <c r="D40" s="2" t="s">
        <v>102</v>
      </c>
      <c r="E40" s="2" t="s">
        <v>15</v>
      </c>
      <c r="F40" s="4" t="s">
        <v>108</v>
      </c>
      <c r="G40" s="2" t="s">
        <v>50</v>
      </c>
      <c r="H40" s="8" t="s">
        <v>97</v>
      </c>
      <c r="I40" s="7">
        <v>75</v>
      </c>
      <c r="J40" s="7">
        <v>11</v>
      </c>
      <c r="K40" s="7">
        <v>4</v>
      </c>
      <c r="L40" s="7">
        <v>62</v>
      </c>
      <c r="M40" s="7">
        <f t="shared" si="4"/>
        <v>53.045454545454547</v>
      </c>
    </row>
    <row r="41" spans="1:13" x14ac:dyDescent="0.25">
      <c r="A41" s="2">
        <v>40</v>
      </c>
      <c r="B41" s="2" t="s">
        <v>13</v>
      </c>
      <c r="C41" s="3">
        <v>46172</v>
      </c>
      <c r="D41" s="2" t="s">
        <v>102</v>
      </c>
      <c r="E41" s="2" t="s">
        <v>15</v>
      </c>
      <c r="F41" s="4" t="s">
        <v>109</v>
      </c>
      <c r="G41" s="2" t="s">
        <v>50</v>
      </c>
      <c r="H41" s="8" t="s">
        <v>42</v>
      </c>
      <c r="I41" s="7">
        <v>68</v>
      </c>
      <c r="J41" s="7">
        <v>11</v>
      </c>
      <c r="K41" s="7">
        <v>4</v>
      </c>
      <c r="L41" s="7">
        <v>53</v>
      </c>
      <c r="M41" s="7">
        <f t="shared" si="4"/>
        <v>47.845454545454544</v>
      </c>
    </row>
    <row r="42" spans="1:13" x14ac:dyDescent="0.25">
      <c r="A42" s="2">
        <v>41</v>
      </c>
      <c r="B42" s="2" t="s">
        <v>13</v>
      </c>
      <c r="C42" s="3">
        <v>46172</v>
      </c>
      <c r="D42" s="2" t="s">
        <v>102</v>
      </c>
      <c r="E42" s="2" t="s">
        <v>15</v>
      </c>
      <c r="F42" s="4" t="s">
        <v>110</v>
      </c>
      <c r="G42" s="2" t="s">
        <v>50</v>
      </c>
      <c r="H42" s="8" t="s">
        <v>98</v>
      </c>
      <c r="I42" s="7">
        <v>67</v>
      </c>
      <c r="J42" s="7">
        <v>11</v>
      </c>
      <c r="K42" s="7">
        <v>4</v>
      </c>
      <c r="L42" s="7">
        <v>52</v>
      </c>
      <c r="M42" s="7">
        <f t="shared" si="4"/>
        <v>47.24545454545455</v>
      </c>
    </row>
    <row r="43" spans="1:13" x14ac:dyDescent="0.25">
      <c r="A43" s="2">
        <v>42</v>
      </c>
      <c r="B43" s="2" t="s">
        <v>13</v>
      </c>
      <c r="C43" s="3">
        <v>46172</v>
      </c>
      <c r="D43" s="2" t="s">
        <v>102</v>
      </c>
      <c r="E43" s="2" t="s">
        <v>15</v>
      </c>
      <c r="F43" s="4" t="s">
        <v>111</v>
      </c>
      <c r="G43" s="2" t="s">
        <v>50</v>
      </c>
      <c r="H43" s="8" t="s">
        <v>99</v>
      </c>
      <c r="I43" s="7">
        <v>85</v>
      </c>
      <c r="J43" s="7">
        <v>11</v>
      </c>
      <c r="K43" s="7">
        <v>4</v>
      </c>
      <c r="L43" s="7">
        <v>51</v>
      </c>
      <c r="M43" s="7">
        <f t="shared" si="4"/>
        <v>48.545454545454547</v>
      </c>
    </row>
    <row r="44" spans="1:13" x14ac:dyDescent="0.25">
      <c r="A44" s="2">
        <v>43</v>
      </c>
      <c r="B44" s="2" t="s">
        <v>13</v>
      </c>
      <c r="C44" s="3">
        <v>46172</v>
      </c>
      <c r="D44" s="2" t="s">
        <v>102</v>
      </c>
      <c r="E44" s="2" t="s">
        <v>15</v>
      </c>
      <c r="F44" s="4" t="s">
        <v>112</v>
      </c>
      <c r="G44" s="2" t="s">
        <v>50</v>
      </c>
      <c r="H44" s="8" t="s">
        <v>100</v>
      </c>
      <c r="I44" s="7">
        <v>59</v>
      </c>
      <c r="J44" s="7">
        <v>11</v>
      </c>
      <c r="K44" s="7">
        <v>4</v>
      </c>
      <c r="L44" s="7">
        <v>49</v>
      </c>
      <c r="M44" s="7">
        <f t="shared" si="4"/>
        <v>44.945454545454545</v>
      </c>
    </row>
    <row r="45" spans="1:13" x14ac:dyDescent="0.25">
      <c r="A45" s="2">
        <v>44</v>
      </c>
      <c r="B45" s="2" t="s">
        <v>13</v>
      </c>
      <c r="C45" s="3">
        <v>46172</v>
      </c>
      <c r="D45" s="2" t="s">
        <v>102</v>
      </c>
      <c r="E45" s="2" t="s">
        <v>15</v>
      </c>
      <c r="F45" s="4" t="s">
        <v>113</v>
      </c>
      <c r="G45" s="2" t="s">
        <v>50</v>
      </c>
      <c r="H45" s="9" t="s">
        <v>101</v>
      </c>
      <c r="I45" s="7">
        <v>45</v>
      </c>
      <c r="J45" s="7">
        <v>11</v>
      </c>
      <c r="K45" s="7">
        <v>2</v>
      </c>
      <c r="L45" s="7">
        <v>45</v>
      </c>
      <c r="M45" s="7">
        <f t="shared" si="4"/>
        <v>34.272727272727273</v>
      </c>
    </row>
    <row r="46" spans="1:13" x14ac:dyDescent="0.25">
      <c r="A46" s="2">
        <v>45</v>
      </c>
      <c r="B46" s="2" t="s">
        <v>13</v>
      </c>
      <c r="C46" s="3">
        <v>46172</v>
      </c>
      <c r="D46" s="2" t="s">
        <v>102</v>
      </c>
      <c r="E46" s="2" t="s">
        <v>15</v>
      </c>
      <c r="F46" s="4" t="s">
        <v>115</v>
      </c>
      <c r="G46" s="2" t="s">
        <v>50</v>
      </c>
      <c r="H46" s="9" t="s">
        <v>114</v>
      </c>
      <c r="I46" s="7">
        <v>59</v>
      </c>
      <c r="J46" s="7">
        <v>11</v>
      </c>
      <c r="K46" s="7">
        <v>2</v>
      </c>
      <c r="L46" s="7">
        <v>56</v>
      </c>
      <c r="M46" s="7">
        <f t="shared" si="4"/>
        <v>41.172727272727272</v>
      </c>
    </row>
    <row r="47" spans="1:13" x14ac:dyDescent="0.25">
      <c r="A47" s="2">
        <v>46</v>
      </c>
      <c r="B47" s="2" t="s">
        <v>13</v>
      </c>
      <c r="C47" s="3">
        <v>46172</v>
      </c>
      <c r="D47" s="2" t="s">
        <v>102</v>
      </c>
      <c r="E47" s="2" t="s">
        <v>15</v>
      </c>
      <c r="F47" s="4" t="s">
        <v>116</v>
      </c>
      <c r="G47" s="2" t="s">
        <v>50</v>
      </c>
      <c r="H47" s="9" t="s">
        <v>117</v>
      </c>
      <c r="I47" s="7">
        <v>62</v>
      </c>
      <c r="J47" s="7">
        <v>11</v>
      </c>
      <c r="K47" s="7">
        <v>2</v>
      </c>
      <c r="L47" s="7">
        <v>55</v>
      </c>
      <c r="M47" s="7">
        <f t="shared" si="4"/>
        <v>40.972727272727276</v>
      </c>
    </row>
    <row r="48" spans="1:13" x14ac:dyDescent="0.25">
      <c r="A48" s="2">
        <v>47</v>
      </c>
      <c r="B48" s="2" t="s">
        <v>13</v>
      </c>
      <c r="C48" s="3">
        <v>46172</v>
      </c>
      <c r="D48" s="2" t="s">
        <v>102</v>
      </c>
      <c r="E48" s="2" t="s">
        <v>15</v>
      </c>
      <c r="F48" s="4" t="s">
        <v>78</v>
      </c>
      <c r="G48" s="2" t="s">
        <v>50</v>
      </c>
      <c r="H48" s="9" t="s">
        <v>118</v>
      </c>
      <c r="I48" s="7">
        <v>72</v>
      </c>
      <c r="J48" s="7">
        <v>11</v>
      </c>
      <c r="K48" s="7">
        <v>4</v>
      </c>
      <c r="L48" s="7">
        <v>60</v>
      </c>
      <c r="M48" s="7">
        <f t="shared" si="4"/>
        <v>51.74545454545455</v>
      </c>
    </row>
    <row r="49" spans="1:13" x14ac:dyDescent="0.25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</sheetData>
  <conditionalFormatting sqref="F1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MLRAdmin</cp:lastModifiedBy>
  <dcterms:created xsi:type="dcterms:W3CDTF">2026-04-30T12:17:37Z</dcterms:created>
  <dcterms:modified xsi:type="dcterms:W3CDTF">2026-05-30T11:13:55Z</dcterms:modified>
</cp:coreProperties>
</file>